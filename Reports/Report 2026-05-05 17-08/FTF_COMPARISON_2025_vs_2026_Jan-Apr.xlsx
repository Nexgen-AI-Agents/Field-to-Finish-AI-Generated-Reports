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 NUMBERS" sheetId="1" state="visible" r:id="rId1"/>
    <sheet name="MONTHLY TRENDS" sheetId="2" state="visible" r:id="rId2"/>
    <sheet name="CREW SCORECARDS" sheetId="3" state="visible" r:id="rId3"/>
    <sheet name="DRAFTER SCORECARDS" sheetId="4" state="visible" r:id="rId4"/>
    <sheet name="COORDINATOR REPORT" sheetId="5" state="visible" r:id="rId5"/>
    <sheet name="WHO TO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886600"/>
      <sz val="10"/>
    </font>
    <font>
      <name val="Arial"/>
      <b val="1"/>
      <color rgb="00CC0000"/>
      <sz val="10"/>
    </font>
    <font>
      <name val="Arial"/>
      <b val="1"/>
      <color rgb="001A7A3C"/>
      <sz val="10"/>
    </font>
    <font>
      <name val="Arial"/>
      <color rgb="00CC0000"/>
      <sz val="10"/>
    </font>
    <font>
      <name val="Arial"/>
      <b val="1"/>
      <color rgb="00C05000"/>
      <sz val="10"/>
    </font>
    <font>
      <name val="Arial"/>
      <color rgb="001A7A3C"/>
      <sz val="10"/>
    </font>
    <font>
      <name val="Arial"/>
      <color rgb="001565C0"/>
      <sz val="10"/>
    </font>
    <font>
      <name val="Arial"/>
      <b val="1"/>
      <color rgb="001565C0"/>
      <sz val="10"/>
    </font>
    <font>
      <name val="Arial"/>
      <color rgb="00886600"/>
      <sz val="10"/>
    </font>
    <font>
      <name val="Arial"/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1565C0"/>
      </patternFill>
    </fill>
    <fill>
      <patternFill patternType="solid">
        <fgColor rgb="00555555"/>
      </patternFill>
    </fill>
    <fill>
      <patternFill patternType="solid">
        <fgColor rgb="00F5F5F5"/>
      </patternFill>
    </fill>
    <fill>
      <patternFill patternType="solid">
        <fgColor rgb="00E8EEF8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D5F5E3"/>
      </patternFill>
    </fill>
    <fill>
      <patternFill patternType="solid">
        <fgColor rgb="00CC0000"/>
      </patternFill>
    </fill>
    <fill>
      <patternFill patternType="solid">
        <fgColor rgb="00FFE5C0"/>
      </patternFill>
    </fill>
    <fill>
      <patternFill patternType="solid">
        <fgColor rgb="00C05000"/>
      </patternFill>
    </fill>
    <fill>
      <patternFill patternType="solid">
        <fgColor rgb="00DDEEFF"/>
      </patternFill>
    </fill>
    <fill>
      <patternFill patternType="solid">
        <fgColor rgb="00E8FFF0"/>
      </patternFill>
    </fill>
    <fill>
      <patternFill patternType="solid">
        <fgColor rgb="001A7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Orders — 2025 vs 2026 (Higher = More Business)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TRENDS'!B12</f>
            </strRef>
          </tx>
          <spPr>
            <a:ln>
              <a:prstDash val="solid"/>
            </a:ln>
          </spPr>
          <cat>
            <numRef>
              <f>'MONTHLY TRENDS'!$A$13:$A$16</f>
            </numRef>
          </cat>
          <val>
            <numRef>
              <f>'MONTHLY TRENDS'!$B$13:$B$16</f>
            </numRef>
          </val>
        </ser>
        <ser>
          <idx val="1"/>
          <order val="1"/>
          <tx>
            <strRef>
              <f>'MONTHLY TRENDS'!C12</f>
            </strRef>
          </tx>
          <spPr>
            <a:ln>
              <a:prstDash val="solid"/>
            </a:ln>
          </spPr>
          <cat>
            <numRef>
              <f>'MONTHLY TRENDS'!$A$13:$A$16</f>
            </numRef>
          </cat>
          <val>
            <numRef>
              <f>'MONTHLY TRENDS'!$C$13:$C$16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Go-Back Rate % — 2025 vs 2026 (LOWER IS 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TRENDS'!F12</f>
            </strRef>
          </tx>
          <spPr>
            <a:ln>
              <a:prstDash val="solid"/>
            </a:ln>
          </spPr>
          <cat>
            <numRef>
              <f>'MONTHLY TRENDS'!$E$13:$E$16</f>
            </numRef>
          </cat>
          <val>
            <numRef>
              <f>'MONTHLY TRENDS'!$F$13:$F$16</f>
            </numRef>
          </val>
        </ser>
        <ser>
          <idx val="1"/>
          <order val="1"/>
          <tx>
            <strRef>
              <f>'MONTHLY TRENDS'!G12</f>
            </strRef>
          </tx>
          <spPr>
            <a:ln>
              <a:prstDash val="solid"/>
            </a:ln>
          </spPr>
          <cat>
            <numRef>
              <f>'MONTHLY TRENDS'!$E$13:$E$16</f>
            </numRef>
          </cat>
          <val>
            <numRef>
              <f>'MONTHLY TRENDS'!$G$13:$G$16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Go-Back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Completion Rate % — 2025 vs 2026 (Higher = 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TRENDS'!J12</f>
            </strRef>
          </tx>
          <spPr>
            <a:ln>
              <a:prstDash val="solid"/>
            </a:ln>
          </spPr>
          <cat>
            <numRef>
              <f>'MONTHLY TRENDS'!$I$13:$I$16</f>
            </numRef>
          </cat>
          <val>
            <numRef>
              <f>'MONTHLY TRENDS'!$J$13:$J$16</f>
            </numRef>
          </val>
        </ser>
        <ser>
          <idx val="1"/>
          <order val="1"/>
          <tx>
            <strRef>
              <f>'MONTHLY TRENDS'!K12</f>
            </strRef>
          </tx>
          <spPr>
            <a:ln>
              <a:prstDash val="solid"/>
            </a:ln>
          </spPr>
          <cat>
            <numRef>
              <f>'MONTHLY TRENDS'!$I$13:$I$16</f>
            </numRef>
          </cat>
          <val>
            <numRef>
              <f>'MONTHLY TRENDS'!$K$13:$K$16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Completion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14 Crew Go-Back Rate % — 2025 vs 2026  (Lower is Better)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'CREW SCORECARDS'!B33</f>
            </strRef>
          </tx>
          <spPr>
            <a:ln>
              <a:prstDash val="solid"/>
            </a:ln>
          </spPr>
          <cat>
            <numRef>
              <f>'CREW SCORECARDS'!$A$34:$A$47</f>
            </numRef>
          </cat>
          <val>
            <numRef>
              <f>'CREW SCORECARDS'!$B$34:$B$47</f>
            </numRef>
          </val>
        </ser>
        <ser>
          <idx val="1"/>
          <order val="1"/>
          <tx>
            <strRef>
              <f>'CREW SCORECARDS'!C33</f>
            </strRef>
          </tx>
          <spPr>
            <a:ln>
              <a:prstDash val="solid"/>
            </a:ln>
          </spPr>
          <cat>
            <numRef>
              <f>'CREW SCORECARDS'!$A$34:$A$47</f>
            </numRef>
          </cat>
          <val>
            <numRef>
              <f>'CREW SCORECARDS'!$C$34:$C$47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Go-Back Rate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Crew Name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Drafter Go-Back Rate % — 2025 vs 2026  (Lower is Better)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'DRAFTER SCORECARDS'!B21</f>
            </strRef>
          </tx>
          <spPr>
            <a:ln>
              <a:prstDash val="solid"/>
            </a:ln>
          </spPr>
          <cat>
            <numRef>
              <f>'DRAFTER SCORECARDS'!$A$22:$A$25</f>
            </numRef>
          </cat>
          <val>
            <numRef>
              <f>'DRAFTER SCORECARDS'!$B$22:$B$25</f>
            </numRef>
          </val>
        </ser>
        <ser>
          <idx val="1"/>
          <order val="1"/>
          <tx>
            <strRef>
              <f>'DRAFTER SCORECARDS'!C21</f>
            </strRef>
          </tx>
          <spPr>
            <a:ln>
              <a:prstDash val="solid"/>
            </a:ln>
          </spPr>
          <cat>
            <numRef>
              <f>'DRAFTER SCORECARDS'!$A$22:$A$25</f>
            </numRef>
          </cat>
          <val>
            <numRef>
              <f>'DRAFTER SCORECARDS'!$C$22:$C$25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Go-Back Rate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Drafter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18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52" customWidth="1" min="7" max="7"/>
  </cols>
  <sheetData>
    <row r="1">
      <c r="A1" s="1" t="inlineStr">
        <is>
          <t>NexGen Field to Finish  —  Year-Over-Year Comparison  |  January – April</t>
        </is>
      </c>
    </row>
    <row r="2">
      <c r="A2" s="2" t="inlineStr">
        <is>
          <t>How are we doing in 2026 vs. the same four months in 2025?</t>
        </is>
      </c>
    </row>
    <row r="3" ht="18" customHeight="1">
      <c r="A3" s="3" t="inlineStr">
        <is>
          <t>2026 data is year-to-date as of May 5, 2026. April 2026 orders may still be in progress.</t>
        </is>
      </c>
    </row>
    <row r="4">
      <c r="A4" s="4" t="inlineStr">
        <is>
          <t>Metric</t>
        </is>
      </c>
      <c r="B4" s="5" t="inlineStr">
        <is>
          <t>2025 (Jan-Apr)</t>
        </is>
      </c>
      <c r="C4" s="5" t="inlineStr">
        <is>
          <t>2026 (Jan-Apr)</t>
        </is>
      </c>
      <c r="D4" s="5" t="inlineStr">
        <is>
          <t>Change</t>
        </is>
      </c>
      <c r="E4" s="5" t="inlineStr">
        <is>
          <t>Trend</t>
        </is>
      </c>
      <c r="F4" s="5" t="inlineStr">
        <is>
          <t>Grade</t>
        </is>
      </c>
      <c r="G4" s="5" t="inlineStr">
        <is>
          <t>What It Means</t>
        </is>
      </c>
    </row>
    <row r="5" ht="28" customHeight="1">
      <c r="A5" s="6" t="inlineStr">
        <is>
          <t>Total Orders</t>
        </is>
      </c>
      <c r="B5" s="7" t="inlineStr">
        <is>
          <t>7,539</t>
        </is>
      </c>
      <c r="C5" s="7" t="inlineStr">
        <is>
          <t>6,397</t>
        </is>
      </c>
      <c r="D5" s="8" t="inlineStr">
        <is>
          <t>-1,142</t>
        </is>
      </c>
      <c r="E5" s="8" t="inlineStr">
        <is>
          <t>DOWN 15%</t>
        </is>
      </c>
      <c r="F5" s="8" t="inlineStr">
        <is>
          <t>C+</t>
        </is>
      </c>
      <c r="G5" s="9" t="inlineStr">
        <is>
          <t>Volume dropped by 1,142 orders. Fewer jobs coming in vs same period last year.</t>
        </is>
      </c>
    </row>
    <row r="6" ht="28" customHeight="1">
      <c r="A6" s="10" t="inlineStr">
        <is>
          <t>Orders Completed</t>
        </is>
      </c>
      <c r="B6" s="7" t="inlineStr">
        <is>
          <t>5,239</t>
        </is>
      </c>
      <c r="C6" s="7" t="inlineStr">
        <is>
          <t>4,022</t>
        </is>
      </c>
      <c r="D6" s="8" t="inlineStr">
        <is>
          <t>-1,217</t>
        </is>
      </c>
      <c r="E6" s="8" t="inlineStr">
        <is>
          <t>DOWN 23%</t>
        </is>
      </c>
      <c r="F6" s="8" t="inlineStr">
        <is>
          <t>C</t>
        </is>
      </c>
      <c r="G6" s="11" t="inlineStr">
        <is>
          <t>Partly because many 2026 orders are still in pipeline. Watch end-of-year final count.</t>
        </is>
      </c>
    </row>
    <row r="7" ht="28" customHeight="1">
      <c r="A7" s="6" t="inlineStr">
        <is>
          <t>Completion Rate</t>
        </is>
      </c>
      <c r="B7" s="7" t="inlineStr">
        <is>
          <t>69.5%</t>
        </is>
      </c>
      <c r="C7" s="7" t="inlineStr">
        <is>
          <t>62.9%</t>
        </is>
      </c>
      <c r="D7" s="8" t="inlineStr">
        <is>
          <t>-6.6%</t>
        </is>
      </c>
      <c r="E7" s="8" t="inlineStr">
        <is>
          <t>DOWN 6.6 pts</t>
        </is>
      </c>
      <c r="F7" s="8" t="inlineStr">
        <is>
          <t>C</t>
        </is>
      </c>
      <c r="G7" s="9" t="inlineStr">
        <is>
          <t>2026 completing fewer orders per dollar of intake. Go-backs are delaying completions.</t>
        </is>
      </c>
    </row>
    <row r="8" ht="28" customHeight="1">
      <c r="A8" s="10" t="inlineStr">
        <is>
          <t>Go-Backs (count)</t>
        </is>
      </c>
      <c r="B8" s="7" t="inlineStr">
        <is>
          <t>410</t>
        </is>
      </c>
      <c r="C8" s="12" t="inlineStr">
        <is>
          <t>991</t>
        </is>
      </c>
      <c r="D8" s="12" t="inlineStr">
        <is>
          <t>+581</t>
        </is>
      </c>
      <c r="E8" s="12" t="inlineStr">
        <is>
          <t>UP +141%</t>
        </is>
      </c>
      <c r="F8" s="12" t="inlineStr">
        <is>
          <t>F</t>
        </is>
      </c>
      <c r="G8" s="11" t="inlineStr">
        <is>
          <t>GO-BACKS NEARLY TRIPLED. 581 extra redos in the same 4-month window. This is the #1 crisis.</t>
        </is>
      </c>
    </row>
    <row r="9" ht="28" customHeight="1">
      <c r="A9" s="6" t="inlineStr">
        <is>
          <t>Go-Back Rate</t>
        </is>
      </c>
      <c r="B9" s="7" t="inlineStr">
        <is>
          <t>5.4%</t>
        </is>
      </c>
      <c r="C9" s="12" t="inlineStr">
        <is>
          <t>15.5%</t>
        </is>
      </c>
      <c r="D9" s="12" t="inlineStr">
        <is>
          <t>+10.1 pts</t>
        </is>
      </c>
      <c r="E9" s="12" t="inlineStr">
        <is>
          <t>TRIPLED</t>
        </is>
      </c>
      <c r="F9" s="12" t="inlineStr">
        <is>
          <t>F</t>
        </is>
      </c>
      <c r="G9" s="9" t="inlineStr">
        <is>
          <t>Was 1-in-18 jobs. Now 1-in-6.5 jobs. Every crew must know this number and fix it.</t>
        </is>
      </c>
    </row>
    <row r="10" ht="28" customHeight="1">
      <c r="A10" s="10" t="inlineStr">
        <is>
          <t>Cancellations</t>
        </is>
      </c>
      <c r="B10" s="7" t="inlineStr">
        <is>
          <t>2,191</t>
        </is>
      </c>
      <c r="C10" s="13" t="inlineStr">
        <is>
          <t>1,682</t>
        </is>
      </c>
      <c r="D10" s="13" t="inlineStr">
        <is>
          <t>-509</t>
        </is>
      </c>
      <c r="E10" s="13" t="inlineStr">
        <is>
          <t>DOWN (GOOD)</t>
        </is>
      </c>
      <c r="F10" s="13" t="inlineStr">
        <is>
          <t>B</t>
        </is>
      </c>
      <c r="G10" s="11" t="inlineStr">
        <is>
          <t>509 fewer cancellations — the one bright spot in 2026. Positive trend to maintain.</t>
        </is>
      </c>
    </row>
    <row r="11" ht="28" customHeight="1">
      <c r="A11" s="6" t="inlineStr">
        <is>
          <t>Cancel Rate</t>
        </is>
      </c>
      <c r="B11" s="7" t="inlineStr">
        <is>
          <t>29.1%</t>
        </is>
      </c>
      <c r="C11" s="13" t="inlineStr">
        <is>
          <t>26.3%</t>
        </is>
      </c>
      <c r="D11" s="13" t="inlineStr">
        <is>
          <t>-2.8 pts</t>
        </is>
      </c>
      <c r="E11" s="13" t="inlineStr">
        <is>
          <t>IMPROVED</t>
        </is>
      </c>
      <c r="F11" s="13" t="inlineStr">
        <is>
          <t>B</t>
        </is>
      </c>
      <c r="G11" s="9" t="inlineStr">
        <is>
          <t>Cancel rate fell from 29.1% to 26.3%. Good direction. Keep investigating the cause.</t>
        </is>
      </c>
    </row>
    <row r="13" ht="40" customHeight="1">
      <c r="A13" s="14" t="inlineStr">
        <is>
          <t>BOTTOM LINE:  The go-back rate TRIPLED (5.4% to 15.5%) in 2026. That means crews are re-doing 1 in every 6.5 jobs — costing fuel, time, and client trust. Fix the go-back explosion first. Everything else is secondary.</t>
        </is>
      </c>
    </row>
  </sheetData>
  <mergeCells count="4">
    <mergeCell ref="A13:G13"/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4" customWidth="1" min="11" max="11"/>
  </cols>
  <sheetData>
    <row r="1">
      <c r="A1" s="1" t="inlineStr">
        <is>
          <t>Month-by-Month Comparison  |  January – April  |  2025 vs 2026</t>
        </is>
      </c>
    </row>
    <row r="2">
      <c r="A2" s="2" t="inlineStr">
        <is>
          <t>Each month compared side-by-side. Look for where 2026 falls behind.</t>
        </is>
      </c>
    </row>
    <row r="4">
      <c r="A4" s="15" t="inlineStr">
        <is>
          <t>Month</t>
        </is>
      </c>
      <c r="B4" s="15" t="inlineStr">
        <is>
          <t>2025
Orders</t>
        </is>
      </c>
      <c r="C4" s="15" t="inlineStr">
        <is>
          <t>2026
Orders</t>
        </is>
      </c>
      <c r="D4" s="15" t="inlineStr">
        <is>
          <t>Order
Change</t>
        </is>
      </c>
      <c r="E4" s="15" t="inlineStr">
        <is>
          <t>2025
Comp%</t>
        </is>
      </c>
      <c r="F4" s="15" t="inlineStr">
        <is>
          <t>2026
Comp%</t>
        </is>
      </c>
      <c r="G4" s="15" t="inlineStr">
        <is>
          <t>Comp%
Change</t>
        </is>
      </c>
      <c r="H4" s="15" t="inlineStr">
        <is>
          <t>2025
GB%</t>
        </is>
      </c>
      <c r="I4" s="15" t="inlineStr">
        <is>
          <t>2026
GB%</t>
        </is>
      </c>
      <c r="J4" s="15" t="inlineStr">
        <is>
          <t>GB%
Change</t>
        </is>
      </c>
      <c r="K4" s="15" t="inlineStr">
        <is>
          <t>Monthly
Verdict</t>
        </is>
      </c>
    </row>
    <row r="5" ht="24" customHeight="1">
      <c r="A5" s="6" t="inlineStr">
        <is>
          <t>January</t>
        </is>
      </c>
      <c r="B5" s="7" t="n">
        <v>1825</v>
      </c>
      <c r="C5" s="7" t="n">
        <v>1323</v>
      </c>
      <c r="D5" s="12" t="inlineStr">
        <is>
          <t>-502</t>
        </is>
      </c>
      <c r="E5" s="16" t="inlineStr">
        <is>
          <t>68.4%</t>
        </is>
      </c>
      <c r="F5" s="16" t="inlineStr">
        <is>
          <t>66.6%</t>
        </is>
      </c>
      <c r="G5" s="8" t="inlineStr">
        <is>
          <t>-1.8%</t>
        </is>
      </c>
      <c r="H5" s="16" t="inlineStr">
        <is>
          <t>5.3%</t>
        </is>
      </c>
      <c r="I5" s="17" t="inlineStr">
        <is>
          <t>22.4%</t>
        </is>
      </c>
      <c r="J5" s="12" t="inlineStr">
        <is>
          <t>+17.1%</t>
        </is>
      </c>
      <c r="K5" s="12" t="inlineStr">
        <is>
          <t>GO-BACKS CRISIS</t>
        </is>
      </c>
    </row>
    <row r="6" ht="24" customHeight="1">
      <c r="A6" s="10" t="inlineStr">
        <is>
          <t>February</t>
        </is>
      </c>
      <c r="B6" s="7" t="n">
        <v>1833</v>
      </c>
      <c r="C6" s="7" t="n">
        <v>1486</v>
      </c>
      <c r="D6" s="12" t="inlineStr">
        <is>
          <t>-347</t>
        </is>
      </c>
      <c r="E6" s="16" t="inlineStr">
        <is>
          <t>67.3%</t>
        </is>
      </c>
      <c r="F6" s="16" t="inlineStr">
        <is>
          <t>68.6%</t>
        </is>
      </c>
      <c r="G6" s="13" t="inlineStr">
        <is>
          <t>+1.3%</t>
        </is>
      </c>
      <c r="H6" s="16" t="inlineStr">
        <is>
          <t>4.3%</t>
        </is>
      </c>
      <c r="I6" s="17" t="inlineStr">
        <is>
          <t>25.4%</t>
        </is>
      </c>
      <c r="J6" s="12" t="inlineStr">
        <is>
          <t>+21.1%</t>
        </is>
      </c>
      <c r="K6" s="12" t="inlineStr">
        <is>
          <t>GO-BACKS CRISIS</t>
        </is>
      </c>
    </row>
    <row r="7" ht="24" customHeight="1">
      <c r="A7" s="6" t="inlineStr">
        <is>
          <t>March</t>
        </is>
      </c>
      <c r="B7" s="7" t="n">
        <v>1995</v>
      </c>
      <c r="C7" s="7" t="n">
        <v>1770</v>
      </c>
      <c r="D7" s="12" t="inlineStr">
        <is>
          <t>-225</t>
        </is>
      </c>
      <c r="E7" s="16" t="inlineStr">
        <is>
          <t>71.8%</t>
        </is>
      </c>
      <c r="F7" s="18" t="inlineStr">
        <is>
          <t>65.9%</t>
        </is>
      </c>
      <c r="G7" s="12" t="inlineStr">
        <is>
          <t>-5.9%</t>
        </is>
      </c>
      <c r="H7" s="16" t="inlineStr">
        <is>
          <t>4.6%</t>
        </is>
      </c>
      <c r="I7" s="17" t="inlineStr">
        <is>
          <t>11.4%</t>
        </is>
      </c>
      <c r="J7" s="12" t="inlineStr">
        <is>
          <t>+6.8%</t>
        </is>
      </c>
      <c r="K7" s="19" t="inlineStr">
        <is>
          <t>GO-BACKS UP</t>
        </is>
      </c>
    </row>
    <row r="8" ht="24" customHeight="1">
      <c r="A8" s="10" t="inlineStr">
        <is>
          <t>April</t>
        </is>
      </c>
      <c r="B8" s="7" t="n">
        <v>1886</v>
      </c>
      <c r="C8" s="7" t="n">
        <v>1818</v>
      </c>
      <c r="D8" s="12" t="inlineStr">
        <is>
          <t>-68</t>
        </is>
      </c>
      <c r="E8" s="16" t="inlineStr">
        <is>
          <t>70.3%</t>
        </is>
      </c>
      <c r="F8" s="18" t="inlineStr">
        <is>
          <t>52.5%</t>
        </is>
      </c>
      <c r="G8" s="12" t="inlineStr">
        <is>
          <t>-17.8%</t>
        </is>
      </c>
      <c r="H8" s="16" t="inlineStr">
        <is>
          <t>7.6%</t>
        </is>
      </c>
      <c r="I8" s="20" t="inlineStr">
        <is>
          <t>6.4%</t>
        </is>
      </c>
      <c r="J8" s="13" t="inlineStr">
        <is>
          <t>-1.2%</t>
        </is>
      </c>
      <c r="K8" s="8" t="inlineStr">
        <is>
          <t>MIXED</t>
        </is>
      </c>
    </row>
    <row r="9">
      <c r="A9" s="4" t="inlineStr">
        <is>
          <t>TOTAL</t>
        </is>
      </c>
      <c r="B9" s="5" t="inlineStr">
        <is>
          <t>7,539</t>
        </is>
      </c>
      <c r="C9" s="5" t="inlineStr">
        <is>
          <t>6,397</t>
        </is>
      </c>
      <c r="D9" s="5" t="inlineStr">
        <is>
          <t>-1,142</t>
        </is>
      </c>
      <c r="E9" s="5" t="inlineStr">
        <is>
          <t>69.5%</t>
        </is>
      </c>
      <c r="F9" s="5" t="inlineStr">
        <is>
          <t>62.9%</t>
        </is>
      </c>
      <c r="G9" s="5" t="inlineStr">
        <is>
          <t>-6.6%</t>
        </is>
      </c>
      <c r="H9" s="5" t="inlineStr">
        <is>
          <t>5.4%</t>
        </is>
      </c>
      <c r="I9" s="5" t="inlineStr">
        <is>
          <t>15.5%</t>
        </is>
      </c>
      <c r="J9" s="5" t="inlineStr">
        <is>
          <t>+10.1%</t>
        </is>
      </c>
      <c r="K9" s="5" t="inlineStr">
        <is>
          <t>SEE HEADLINE</t>
        </is>
      </c>
    </row>
    <row r="12">
      <c r="A12" t="inlineStr">
        <is>
          <t>Month</t>
        </is>
      </c>
      <c r="B12" t="inlineStr">
        <is>
          <t>2025 Orders</t>
        </is>
      </c>
      <c r="C12" t="inlineStr">
        <is>
          <t>2026 Orders</t>
        </is>
      </c>
      <c r="E12" t="inlineStr">
        <is>
          <t>Month</t>
        </is>
      </c>
      <c r="F12" t="inlineStr">
        <is>
          <t>2025 GB%</t>
        </is>
      </c>
      <c r="G12" t="inlineStr">
        <is>
          <t>2026 GB%</t>
        </is>
      </c>
      <c r="I12" t="inlineStr">
        <is>
          <t>Month</t>
        </is>
      </c>
      <c r="J12" t="inlineStr">
        <is>
          <t>2025 Comp%</t>
        </is>
      </c>
      <c r="K12" t="inlineStr">
        <is>
          <t>2026 Comp%</t>
        </is>
      </c>
    </row>
    <row r="13">
      <c r="A13" t="inlineStr">
        <is>
          <t>January</t>
        </is>
      </c>
      <c r="B13" t="n">
        <v>1825</v>
      </c>
      <c r="C13" t="n">
        <v>1323</v>
      </c>
      <c r="E13" t="inlineStr">
        <is>
          <t>January</t>
        </is>
      </c>
      <c r="F13" t="n">
        <v>5.3</v>
      </c>
      <c r="G13" t="n">
        <v>22.4</v>
      </c>
      <c r="I13" t="inlineStr">
        <is>
          <t>January</t>
        </is>
      </c>
      <c r="J13" t="n">
        <v>68.40000000000001</v>
      </c>
      <c r="K13" t="n">
        <v>66.59999999999999</v>
      </c>
    </row>
    <row r="14">
      <c r="A14" t="inlineStr">
        <is>
          <t>February</t>
        </is>
      </c>
      <c r="B14" t="n">
        <v>1833</v>
      </c>
      <c r="C14" t="n">
        <v>1486</v>
      </c>
      <c r="E14" t="inlineStr">
        <is>
          <t>February</t>
        </is>
      </c>
      <c r="F14" t="n">
        <v>4.3</v>
      </c>
      <c r="G14" t="n">
        <v>25.4</v>
      </c>
      <c r="I14" t="inlineStr">
        <is>
          <t>February</t>
        </is>
      </c>
      <c r="J14" t="n">
        <v>67.3</v>
      </c>
      <c r="K14" t="n">
        <v>68.59999999999999</v>
      </c>
    </row>
    <row r="15">
      <c r="A15" t="inlineStr">
        <is>
          <t>March</t>
        </is>
      </c>
      <c r="B15" t="n">
        <v>1995</v>
      </c>
      <c r="C15" t="n">
        <v>1770</v>
      </c>
      <c r="E15" t="inlineStr">
        <is>
          <t>March</t>
        </is>
      </c>
      <c r="F15" t="n">
        <v>4.6</v>
      </c>
      <c r="G15" t="n">
        <v>11.4</v>
      </c>
      <c r="I15" t="inlineStr">
        <is>
          <t>March</t>
        </is>
      </c>
      <c r="J15" t="n">
        <v>71.8</v>
      </c>
      <c r="K15" t="n">
        <v>65.90000000000001</v>
      </c>
    </row>
    <row r="16">
      <c r="A16" t="inlineStr">
        <is>
          <t>April</t>
        </is>
      </c>
      <c r="B16" t="n">
        <v>1886</v>
      </c>
      <c r="C16" t="n">
        <v>1818</v>
      </c>
      <c r="E16" t="inlineStr">
        <is>
          <t>April</t>
        </is>
      </c>
      <c r="F16" t="n">
        <v>7.6</v>
      </c>
      <c r="G16" t="n">
        <v>6.4</v>
      </c>
      <c r="I16" t="inlineStr">
        <is>
          <t>April</t>
        </is>
      </c>
      <c r="J16" t="n">
        <v>70.3</v>
      </c>
      <c r="K16" t="n">
        <v>52.5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8" customWidth="1" min="4" max="4"/>
    <col width="9" customWidth="1" min="5" max="5"/>
    <col width="12" customWidth="1" min="6" max="6"/>
    <col width="14" customWidth="1" min="7" max="7"/>
    <col width="11" customWidth="1" min="8" max="8"/>
    <col width="11" customWidth="1" min="9" max="9"/>
  </cols>
  <sheetData>
    <row r="1">
      <c r="A1" s="1" t="inlineStr">
        <is>
          <t>Crew Performance  —  Go-Back Rate Comparison  |  Jan–Apr 2025 vs 2026</t>
        </is>
      </c>
    </row>
    <row r="2">
      <c r="A2" s="2" t="inlineStr">
        <is>
          <t>LOWER go-back % = fewer re-dos = better quality.  Sorted worst decline first.</t>
        </is>
      </c>
    </row>
    <row r="3">
      <c r="A3" s="21" t="inlineStr">
        <is>
          <t>RED rows = getting worse  |  GREEN rows = improving  |  Target: under 10% go-back</t>
        </is>
      </c>
    </row>
    <row r="4">
      <c r="A4" s="15" t="inlineStr">
        <is>
          <t>Crew Name</t>
        </is>
      </c>
      <c r="B4" s="15" t="inlineStr">
        <is>
          <t>2025
Jobs</t>
        </is>
      </c>
      <c r="C4" s="15" t="inlineStr">
        <is>
          <t>2025
GB%</t>
        </is>
      </c>
      <c r="D4" s="15" t="inlineStr">
        <is>
          <t>2026
Jobs</t>
        </is>
      </c>
      <c r="E4" s="15" t="inlineStr">
        <is>
          <t>2026
GB%</t>
        </is>
      </c>
      <c r="F4" s="15" t="inlineStr">
        <is>
          <t>Change in
GB%</t>
        </is>
      </c>
      <c r="G4" s="15" t="inlineStr">
        <is>
          <t>Status</t>
        </is>
      </c>
      <c r="H4" s="15" t="inlineStr">
        <is>
          <t>2025
Rating</t>
        </is>
      </c>
      <c r="I4" s="15" t="inlineStr">
        <is>
          <t>2026
Rating</t>
        </is>
      </c>
    </row>
    <row r="5" ht="20" customHeight="1">
      <c r="A5" s="22" t="inlineStr">
        <is>
          <t>Rc</t>
        </is>
      </c>
      <c r="B5" s="7" t="n">
        <v>133</v>
      </c>
      <c r="C5" s="23" t="inlineStr">
        <is>
          <t>3.8%</t>
        </is>
      </c>
      <c r="D5" s="7" t="n">
        <v>114</v>
      </c>
      <c r="E5" s="12" t="inlineStr">
        <is>
          <t>45.6%</t>
        </is>
      </c>
      <c r="F5" s="12" t="inlineStr">
        <is>
          <t>+41.8%</t>
        </is>
      </c>
      <c r="G5" s="12" t="inlineStr">
        <is>
          <t>BIG DROP ↓↓</t>
        </is>
      </c>
      <c r="H5" s="13" t="inlineStr">
        <is>
          <t>STAR</t>
        </is>
      </c>
      <c r="I5" s="12" t="inlineStr">
        <is>
          <t>CRITICAL</t>
        </is>
      </c>
    </row>
    <row r="6" ht="20" customHeight="1">
      <c r="A6" s="22" t="inlineStr">
        <is>
          <t>Choppa</t>
        </is>
      </c>
      <c r="B6" s="7" t="n">
        <v>235</v>
      </c>
      <c r="C6" s="24" t="inlineStr">
        <is>
          <t>11.1%</t>
        </is>
      </c>
      <c r="D6" s="7" t="n">
        <v>76</v>
      </c>
      <c r="E6" s="12" t="inlineStr">
        <is>
          <t>51.3%</t>
        </is>
      </c>
      <c r="F6" s="12" t="inlineStr">
        <is>
          <t>+40.2%</t>
        </is>
      </c>
      <c r="G6" s="12" t="inlineStr">
        <is>
          <t>BIG DROP ↓↓</t>
        </is>
      </c>
      <c r="H6" s="25" t="inlineStr">
        <is>
          <t>GOOD</t>
        </is>
      </c>
      <c r="I6" s="12" t="inlineStr">
        <is>
          <t>CRITICAL</t>
        </is>
      </c>
    </row>
    <row r="7" ht="20" customHeight="1">
      <c r="A7" s="22" t="inlineStr">
        <is>
          <t>Byron</t>
        </is>
      </c>
      <c r="B7" s="7" t="n">
        <v>266</v>
      </c>
      <c r="C7" s="23" t="inlineStr">
        <is>
          <t>5.3%</t>
        </is>
      </c>
      <c r="D7" s="7" t="n">
        <v>222</v>
      </c>
      <c r="E7" s="12" t="inlineStr">
        <is>
          <t>42.3%</t>
        </is>
      </c>
      <c r="F7" s="12" t="inlineStr">
        <is>
          <t>+37.0%</t>
        </is>
      </c>
      <c r="G7" s="12" t="inlineStr">
        <is>
          <t>BIG DROP ↓↓</t>
        </is>
      </c>
      <c r="H7" s="13" t="inlineStr">
        <is>
          <t>GREAT</t>
        </is>
      </c>
      <c r="I7" s="12" t="inlineStr">
        <is>
          <t>CRITICAL</t>
        </is>
      </c>
    </row>
    <row r="8" ht="20" customHeight="1">
      <c r="A8" s="22" t="inlineStr">
        <is>
          <t>Tejada</t>
        </is>
      </c>
      <c r="B8" s="7" t="n">
        <v>87</v>
      </c>
      <c r="C8" s="23" t="inlineStr">
        <is>
          <t>4.6%</t>
        </is>
      </c>
      <c r="D8" s="7" t="n">
        <v>145</v>
      </c>
      <c r="E8" s="12" t="inlineStr">
        <is>
          <t>35.2%</t>
        </is>
      </c>
      <c r="F8" s="12" t="inlineStr">
        <is>
          <t>+30.6%</t>
        </is>
      </c>
      <c r="G8" s="12" t="inlineStr">
        <is>
          <t>BIG DROP ↓↓</t>
        </is>
      </c>
      <c r="H8" s="13" t="inlineStr">
        <is>
          <t>STAR</t>
        </is>
      </c>
      <c r="I8" s="12" t="inlineStr">
        <is>
          <t>CRITICAL</t>
        </is>
      </c>
    </row>
    <row r="9" ht="20" customHeight="1">
      <c r="A9" s="22" t="inlineStr">
        <is>
          <t>Richardp</t>
        </is>
      </c>
      <c r="B9" s="7" t="n">
        <v>145</v>
      </c>
      <c r="C9" s="23" t="inlineStr">
        <is>
          <t>5.5%</t>
        </is>
      </c>
      <c r="D9" s="7" t="n">
        <v>212</v>
      </c>
      <c r="E9" s="12" t="inlineStr">
        <is>
          <t>34.9%</t>
        </is>
      </c>
      <c r="F9" s="12" t="inlineStr">
        <is>
          <t>+29.4%</t>
        </is>
      </c>
      <c r="G9" s="12" t="inlineStr">
        <is>
          <t>BIG DROP ↓↓</t>
        </is>
      </c>
      <c r="H9" s="13" t="inlineStr">
        <is>
          <t>GREAT</t>
        </is>
      </c>
      <c r="I9" s="12" t="inlineStr">
        <is>
          <t>CRITICAL</t>
        </is>
      </c>
    </row>
    <row r="10" ht="20" customHeight="1">
      <c r="A10" s="22" t="inlineStr">
        <is>
          <t>Ivan</t>
        </is>
      </c>
      <c r="B10" s="7" t="n">
        <v>218</v>
      </c>
      <c r="C10" s="23" t="inlineStr">
        <is>
          <t>5.5%</t>
        </is>
      </c>
      <c r="D10" s="7" t="n">
        <v>357</v>
      </c>
      <c r="E10" s="12" t="inlineStr">
        <is>
          <t>31.9%</t>
        </is>
      </c>
      <c r="F10" s="12" t="inlineStr">
        <is>
          <t>+26.4%</t>
        </is>
      </c>
      <c r="G10" s="12" t="inlineStr">
        <is>
          <t>BIG DROP ↓↓</t>
        </is>
      </c>
      <c r="H10" s="13" t="inlineStr">
        <is>
          <t>GREAT</t>
        </is>
      </c>
      <c r="I10" s="12" t="inlineStr">
        <is>
          <t>CRITICAL</t>
        </is>
      </c>
    </row>
    <row r="11" ht="20" customHeight="1">
      <c r="A11" s="26" t="inlineStr">
        <is>
          <t>Mabel</t>
        </is>
      </c>
      <c r="B11" s="7" t="n">
        <v>132</v>
      </c>
      <c r="C11" s="23" t="inlineStr">
        <is>
          <t>7.6%</t>
        </is>
      </c>
      <c r="D11" s="7" t="n">
        <v>105</v>
      </c>
      <c r="E11" s="12" t="inlineStr">
        <is>
          <t>28.6%</t>
        </is>
      </c>
      <c r="F11" s="12" t="inlineStr">
        <is>
          <t>+21.0%</t>
        </is>
      </c>
      <c r="G11" s="19" t="inlineStr">
        <is>
          <t>DECLINING ↓</t>
        </is>
      </c>
      <c r="H11" s="13" t="inlineStr">
        <is>
          <t>GREAT</t>
        </is>
      </c>
      <c r="I11" s="12" t="inlineStr">
        <is>
          <t>CRITICAL</t>
        </is>
      </c>
    </row>
    <row r="12" ht="20" customHeight="1">
      <c r="A12" s="26" t="inlineStr">
        <is>
          <t>Elio</t>
        </is>
      </c>
      <c r="B12" s="7" t="n">
        <v>92</v>
      </c>
      <c r="C12" s="23" t="inlineStr">
        <is>
          <t>3.3%</t>
        </is>
      </c>
      <c r="D12" s="7" t="n">
        <v>59</v>
      </c>
      <c r="E12" s="19" t="inlineStr">
        <is>
          <t>20.3%</t>
        </is>
      </c>
      <c r="F12" s="12" t="inlineStr">
        <is>
          <t>+17.0%</t>
        </is>
      </c>
      <c r="G12" s="19" t="inlineStr">
        <is>
          <t>DECLINING ↓</t>
        </is>
      </c>
      <c r="H12" s="13" t="inlineStr">
        <is>
          <t>STAR</t>
        </is>
      </c>
      <c r="I12" s="19" t="inlineStr">
        <is>
          <t>CONCERN</t>
        </is>
      </c>
    </row>
    <row r="13" ht="20" customHeight="1">
      <c r="A13" s="26" t="inlineStr">
        <is>
          <t>Manuel</t>
        </is>
      </c>
      <c r="B13" s="7" t="n">
        <v>224</v>
      </c>
      <c r="C13" s="24" t="inlineStr">
        <is>
          <t>11.6%</t>
        </is>
      </c>
      <c r="D13" s="7" t="n">
        <v>226</v>
      </c>
      <c r="E13" s="12" t="inlineStr">
        <is>
          <t>27.9%</t>
        </is>
      </c>
      <c r="F13" s="12" t="inlineStr">
        <is>
          <t>+16.3%</t>
        </is>
      </c>
      <c r="G13" s="19" t="inlineStr">
        <is>
          <t>DECLINING ↓</t>
        </is>
      </c>
      <c r="H13" s="25" t="inlineStr">
        <is>
          <t>GOOD</t>
        </is>
      </c>
      <c r="I13" s="12" t="inlineStr">
        <is>
          <t>CRITICAL</t>
        </is>
      </c>
    </row>
    <row r="14" ht="20" customHeight="1">
      <c r="A14" s="26" t="inlineStr">
        <is>
          <t>Alije</t>
        </is>
      </c>
      <c r="B14" s="7" t="n">
        <v>707</v>
      </c>
      <c r="C14" s="23" t="inlineStr">
        <is>
          <t>6.9%</t>
        </is>
      </c>
      <c r="D14" s="7" t="n">
        <v>619</v>
      </c>
      <c r="E14" s="19" t="inlineStr">
        <is>
          <t>19.1%</t>
        </is>
      </c>
      <c r="F14" s="12" t="inlineStr">
        <is>
          <t>+12.2%</t>
        </is>
      </c>
      <c r="G14" s="19" t="inlineStr">
        <is>
          <t>DECLINING ↓</t>
        </is>
      </c>
      <c r="H14" s="13" t="inlineStr">
        <is>
          <t>GREAT</t>
        </is>
      </c>
      <c r="I14" s="19" t="inlineStr">
        <is>
          <t>CONCERN</t>
        </is>
      </c>
    </row>
    <row r="15" ht="20" customHeight="1">
      <c r="A15" s="26" t="inlineStr">
        <is>
          <t>Andrewy</t>
        </is>
      </c>
      <c r="B15" s="7" t="n">
        <v>125</v>
      </c>
      <c r="C15" s="27" t="inlineStr">
        <is>
          <t>14.4%</t>
        </is>
      </c>
      <c r="D15" s="7" t="n">
        <v>136</v>
      </c>
      <c r="E15" s="12" t="inlineStr">
        <is>
          <t>26.5%</t>
        </is>
      </c>
      <c r="F15" s="12" t="inlineStr">
        <is>
          <t>+12.1%</t>
        </is>
      </c>
      <c r="G15" s="19" t="inlineStr">
        <is>
          <t>DECLINING ↓</t>
        </is>
      </c>
      <c r="H15" s="8" t="inlineStr">
        <is>
          <t>OK</t>
        </is>
      </c>
      <c r="I15" s="12" t="inlineStr">
        <is>
          <t>CRITICAL</t>
        </is>
      </c>
    </row>
    <row r="16" ht="20" customHeight="1">
      <c r="A16" s="10" t="inlineStr">
        <is>
          <t>Juans</t>
        </is>
      </c>
      <c r="B16" s="7" t="n">
        <v>306</v>
      </c>
      <c r="C16" s="24" t="inlineStr">
        <is>
          <t>9.5%</t>
        </is>
      </c>
      <c r="D16" s="7" t="n">
        <v>217</v>
      </c>
      <c r="E16" s="19" t="inlineStr">
        <is>
          <t>21.2%</t>
        </is>
      </c>
      <c r="F16" s="12" t="inlineStr">
        <is>
          <t>+11.7%</t>
        </is>
      </c>
      <c r="G16" s="8" t="inlineStr">
        <is>
          <t>WATCH ↓</t>
        </is>
      </c>
      <c r="H16" s="25" t="inlineStr">
        <is>
          <t>GOOD</t>
        </is>
      </c>
      <c r="I16" s="19" t="inlineStr">
        <is>
          <t>CONCERN</t>
        </is>
      </c>
    </row>
    <row r="17" ht="20" customHeight="1">
      <c r="A17" s="6" t="inlineStr">
        <is>
          <t>Chauncey_w</t>
        </is>
      </c>
      <c r="B17" s="7" t="n">
        <v>206</v>
      </c>
      <c r="C17" s="27" t="inlineStr">
        <is>
          <t>14.1%</t>
        </is>
      </c>
      <c r="D17" s="7" t="n">
        <v>133</v>
      </c>
      <c r="E17" s="19" t="inlineStr">
        <is>
          <t>24.8%</t>
        </is>
      </c>
      <c r="F17" s="12" t="inlineStr">
        <is>
          <t>+10.7%</t>
        </is>
      </c>
      <c r="G17" s="8" t="inlineStr">
        <is>
          <t>WATCH ↓</t>
        </is>
      </c>
      <c r="H17" s="8" t="inlineStr">
        <is>
          <t>OK</t>
        </is>
      </c>
      <c r="I17" s="19" t="inlineStr">
        <is>
          <t>CONCERN</t>
        </is>
      </c>
    </row>
    <row r="18" ht="20" customHeight="1">
      <c r="A18" s="10" t="inlineStr">
        <is>
          <t>Raul</t>
        </is>
      </c>
      <c r="B18" s="7" t="n">
        <v>387</v>
      </c>
      <c r="C18" s="23" t="inlineStr">
        <is>
          <t>8.8%</t>
        </is>
      </c>
      <c r="D18" s="7" t="n">
        <v>224</v>
      </c>
      <c r="E18" s="19" t="inlineStr">
        <is>
          <t>18.8%</t>
        </is>
      </c>
      <c r="F18" s="12" t="inlineStr">
        <is>
          <t>+10.0%</t>
        </is>
      </c>
      <c r="G18" s="8" t="inlineStr">
        <is>
          <t>WATCH ↓</t>
        </is>
      </c>
      <c r="H18" s="13" t="inlineStr">
        <is>
          <t>GREAT</t>
        </is>
      </c>
      <c r="I18" s="19" t="inlineStr">
        <is>
          <t>CONCERN</t>
        </is>
      </c>
    </row>
    <row r="19" ht="20" customHeight="1">
      <c r="A19" s="6" t="inlineStr">
        <is>
          <t>Elenam</t>
        </is>
      </c>
      <c r="B19" s="7" t="n">
        <v>106</v>
      </c>
      <c r="C19" s="24" t="inlineStr">
        <is>
          <t>9.4%</t>
        </is>
      </c>
      <c r="D19" s="7" t="n">
        <v>231</v>
      </c>
      <c r="E19" s="19" t="inlineStr">
        <is>
          <t>18.2%</t>
        </is>
      </c>
      <c r="F19" s="12" t="inlineStr">
        <is>
          <t>+8.8%</t>
        </is>
      </c>
      <c r="G19" s="8" t="inlineStr">
        <is>
          <t>WATCH ↓</t>
        </is>
      </c>
      <c r="H19" s="25" t="inlineStr">
        <is>
          <t>GOOD</t>
        </is>
      </c>
      <c r="I19" s="19" t="inlineStr">
        <is>
          <t>CONCERN</t>
        </is>
      </c>
    </row>
    <row r="20" ht="20" customHeight="1">
      <c r="A20" s="10" t="inlineStr">
        <is>
          <t>Ricardot</t>
        </is>
      </c>
      <c r="B20" s="7" t="n">
        <v>363</v>
      </c>
      <c r="C20" s="23" t="inlineStr">
        <is>
          <t>7.4%</t>
        </is>
      </c>
      <c r="D20" s="7" t="n">
        <v>358</v>
      </c>
      <c r="E20" s="8" t="inlineStr">
        <is>
          <t>15.1%</t>
        </is>
      </c>
      <c r="F20" s="12" t="inlineStr">
        <is>
          <t>+7.7%</t>
        </is>
      </c>
      <c r="G20" s="8" t="inlineStr">
        <is>
          <t>WATCH ↓</t>
        </is>
      </c>
      <c r="H20" s="13" t="inlineStr">
        <is>
          <t>GREAT</t>
        </is>
      </c>
      <c r="I20" s="8" t="inlineStr">
        <is>
          <t>OK</t>
        </is>
      </c>
    </row>
    <row r="21" ht="20" customHeight="1">
      <c r="A21" s="6" t="inlineStr">
        <is>
          <t>Rose</t>
        </is>
      </c>
      <c r="B21" s="7" t="n">
        <v>421</v>
      </c>
      <c r="C21" s="23" t="inlineStr">
        <is>
          <t>2.9%</t>
        </is>
      </c>
      <c r="D21" s="7" t="n">
        <v>120</v>
      </c>
      <c r="E21" s="24" t="inlineStr">
        <is>
          <t>9.2%</t>
        </is>
      </c>
      <c r="F21" s="12" t="inlineStr">
        <is>
          <t>+6.3%</t>
        </is>
      </c>
      <c r="G21" s="8" t="inlineStr">
        <is>
          <t>WATCH ↓</t>
        </is>
      </c>
      <c r="H21" s="13" t="inlineStr">
        <is>
          <t>STAR</t>
        </is>
      </c>
      <c r="I21" s="25" t="inlineStr">
        <is>
          <t>GOOD</t>
        </is>
      </c>
    </row>
    <row r="22" ht="20" customHeight="1">
      <c r="A22" s="10" t="inlineStr">
        <is>
          <t>Davidy</t>
        </is>
      </c>
      <c r="B22" s="7" t="n">
        <v>78</v>
      </c>
      <c r="C22" s="23" t="inlineStr">
        <is>
          <t>0.0%</t>
        </is>
      </c>
      <c r="D22" s="7" t="n">
        <v>68</v>
      </c>
      <c r="E22" s="23" t="inlineStr">
        <is>
          <t>5.9%</t>
        </is>
      </c>
      <c r="F22" s="12" t="inlineStr">
        <is>
          <t>+5.9%</t>
        </is>
      </c>
      <c r="G22" s="8" t="inlineStr">
        <is>
          <t>WATCH ↓</t>
        </is>
      </c>
      <c r="H22" s="13" t="inlineStr">
        <is>
          <t>PERFECT</t>
        </is>
      </c>
      <c r="I22" s="13" t="inlineStr">
        <is>
          <t>GREAT</t>
        </is>
      </c>
    </row>
    <row r="23" ht="20" customHeight="1">
      <c r="A23" s="6" t="inlineStr">
        <is>
          <t>Jonp</t>
        </is>
      </c>
      <c r="B23" s="7" t="n">
        <v>250</v>
      </c>
      <c r="C23" s="24" t="inlineStr">
        <is>
          <t>11.6%</t>
        </is>
      </c>
      <c r="D23" s="7" t="n">
        <v>115</v>
      </c>
      <c r="E23" s="27" t="inlineStr">
        <is>
          <t>14.8%</t>
        </is>
      </c>
      <c r="F23" s="28" t="inlineStr">
        <is>
          <t>+3.2%</t>
        </is>
      </c>
      <c r="G23" s="8" t="inlineStr">
        <is>
          <t>WATCH ↓</t>
        </is>
      </c>
      <c r="H23" s="25" t="inlineStr">
        <is>
          <t>GOOD</t>
        </is>
      </c>
      <c r="I23" s="8" t="inlineStr">
        <is>
          <t>OK</t>
        </is>
      </c>
    </row>
    <row r="24" ht="20" customHeight="1">
      <c r="A24" s="10" t="inlineStr">
        <is>
          <t>Ray</t>
        </is>
      </c>
      <c r="B24" s="7" t="n">
        <v>236</v>
      </c>
      <c r="C24" s="23" t="inlineStr">
        <is>
          <t>4.7%</t>
        </is>
      </c>
      <c r="D24" s="7" t="n">
        <v>169</v>
      </c>
      <c r="E24" s="23" t="inlineStr">
        <is>
          <t>7.7%</t>
        </is>
      </c>
      <c r="F24" s="28" t="inlineStr">
        <is>
          <t>+3.0%</t>
        </is>
      </c>
      <c r="G24" s="25" t="inlineStr">
        <is>
          <t>STABLE →</t>
        </is>
      </c>
      <c r="H24" s="13" t="inlineStr">
        <is>
          <t>STAR</t>
        </is>
      </c>
      <c r="I24" s="13" t="inlineStr">
        <is>
          <t>GREAT</t>
        </is>
      </c>
    </row>
    <row r="25" ht="20" customHeight="1">
      <c r="A25" s="6" t="inlineStr">
        <is>
          <t>Anthonya</t>
        </is>
      </c>
      <c r="B25" s="7" t="n">
        <v>78</v>
      </c>
      <c r="C25" s="23" t="inlineStr">
        <is>
          <t>2.6%</t>
        </is>
      </c>
      <c r="D25" s="7" t="n">
        <v>37</v>
      </c>
      <c r="E25" s="23" t="inlineStr">
        <is>
          <t>2.7%</t>
        </is>
      </c>
      <c r="F25" s="28" t="inlineStr">
        <is>
          <t>+0.1%</t>
        </is>
      </c>
      <c r="G25" s="25" t="inlineStr">
        <is>
          <t>STABLE →</t>
        </is>
      </c>
      <c r="H25" s="13" t="inlineStr">
        <is>
          <t>STAR</t>
        </is>
      </c>
      <c r="I25" s="13" t="inlineStr">
        <is>
          <t>STAR</t>
        </is>
      </c>
    </row>
    <row r="26" ht="20" customHeight="1">
      <c r="A26" s="29" t="inlineStr">
        <is>
          <t>Joseph</t>
        </is>
      </c>
      <c r="B26" s="7" t="n">
        <v>79</v>
      </c>
      <c r="C26" s="23" t="inlineStr">
        <is>
          <t>2.5%</t>
        </is>
      </c>
      <c r="D26" s="7" t="n">
        <v>56</v>
      </c>
      <c r="E26" s="23" t="inlineStr">
        <is>
          <t>1.8%</t>
        </is>
      </c>
      <c r="F26" s="13" t="inlineStr">
        <is>
          <t>-0.7%</t>
        </is>
      </c>
      <c r="G26" s="13" t="inlineStr">
        <is>
          <t>STABLE →</t>
        </is>
      </c>
      <c r="H26" s="13" t="inlineStr">
        <is>
          <t>STAR</t>
        </is>
      </c>
      <c r="I26" s="13" t="inlineStr">
        <is>
          <t>STAR</t>
        </is>
      </c>
    </row>
    <row r="27" ht="20" customHeight="1">
      <c r="A27" s="29" t="inlineStr">
        <is>
          <t>Diegor</t>
        </is>
      </c>
      <c r="B27" s="7" t="n">
        <v>155</v>
      </c>
      <c r="C27" s="23" t="inlineStr">
        <is>
          <t>5.8%</t>
        </is>
      </c>
      <c r="D27" s="7" t="n">
        <v>131</v>
      </c>
      <c r="E27" s="23" t="inlineStr">
        <is>
          <t>4.6%</t>
        </is>
      </c>
      <c r="F27" s="13" t="inlineStr">
        <is>
          <t>-1.2%</t>
        </is>
      </c>
      <c r="G27" s="13" t="inlineStr">
        <is>
          <t>STABLE →</t>
        </is>
      </c>
      <c r="H27" s="13" t="inlineStr">
        <is>
          <t>GREAT</t>
        </is>
      </c>
      <c r="I27" s="13" t="inlineStr">
        <is>
          <t>STAR</t>
        </is>
      </c>
    </row>
    <row r="28" ht="20" customHeight="1">
      <c r="A28" s="30" t="inlineStr">
        <is>
          <t>Johnv</t>
        </is>
      </c>
      <c r="B28" s="7" t="n">
        <v>131</v>
      </c>
      <c r="C28" s="24" t="inlineStr">
        <is>
          <t>10.7%</t>
        </is>
      </c>
      <c r="D28" s="7" t="n">
        <v>88</v>
      </c>
      <c r="E28" s="23" t="inlineStr">
        <is>
          <t>3.4%</t>
        </is>
      </c>
      <c r="F28" s="13" t="inlineStr">
        <is>
          <t>-7.3%</t>
        </is>
      </c>
      <c r="G28" s="13" t="inlineStr">
        <is>
          <t>IMPROVING ↑</t>
        </is>
      </c>
      <c r="H28" s="25" t="inlineStr">
        <is>
          <t>GOOD</t>
        </is>
      </c>
      <c r="I28" s="13" t="inlineStr">
        <is>
          <t>STAR</t>
        </is>
      </c>
    </row>
    <row r="30">
      <c r="A30" s="31" t="inlineStr">
        <is>
          <t>NEW IN 2026 (no 2025 data): Brian_g — 0.0% GB (7 jobs)  |  Luis_p — 0.0% GB (14 jobs)  — Both new, both off to a great start.</t>
        </is>
      </c>
    </row>
    <row r="33">
      <c r="A33" t="inlineStr">
        <is>
          <t>Crew</t>
        </is>
      </c>
      <c r="B33" t="inlineStr">
        <is>
          <t>2025 GB%</t>
        </is>
      </c>
      <c r="C33" t="inlineStr">
        <is>
          <t>2026 GB%</t>
        </is>
      </c>
    </row>
    <row r="34">
      <c r="A34" t="inlineStr">
        <is>
          <t>Rc</t>
        </is>
      </c>
      <c r="B34" t="n">
        <v>3.8</v>
      </c>
      <c r="C34" t="n">
        <v>45.6</v>
      </c>
    </row>
    <row r="35">
      <c r="A35" t="inlineStr">
        <is>
          <t>Choppa</t>
        </is>
      </c>
      <c r="B35" t="n">
        <v>11.1</v>
      </c>
      <c r="C35" t="n">
        <v>51.3</v>
      </c>
    </row>
    <row r="36">
      <c r="A36" t="inlineStr">
        <is>
          <t>Byron</t>
        </is>
      </c>
      <c r="B36" t="n">
        <v>5.3</v>
      </c>
      <c r="C36" t="n">
        <v>42.3</v>
      </c>
    </row>
    <row r="37">
      <c r="A37" t="inlineStr">
        <is>
          <t>Tejada</t>
        </is>
      </c>
      <c r="B37" t="n">
        <v>4.6</v>
      </c>
      <c r="C37" t="n">
        <v>35.2</v>
      </c>
    </row>
    <row r="38">
      <c r="A38" t="inlineStr">
        <is>
          <t>Richardp</t>
        </is>
      </c>
      <c r="B38" t="n">
        <v>5.5</v>
      </c>
      <c r="C38" t="n">
        <v>34.9</v>
      </c>
    </row>
    <row r="39">
      <c r="A39" t="inlineStr">
        <is>
          <t>Ivan</t>
        </is>
      </c>
      <c r="B39" t="n">
        <v>5.5</v>
      </c>
      <c r="C39" t="n">
        <v>31.9</v>
      </c>
    </row>
    <row r="40">
      <c r="A40" t="inlineStr">
        <is>
          <t>Mabel</t>
        </is>
      </c>
      <c r="B40" t="n">
        <v>7.6</v>
      </c>
      <c r="C40" t="n">
        <v>28.6</v>
      </c>
    </row>
    <row r="41">
      <c r="A41" t="inlineStr">
        <is>
          <t>Elio</t>
        </is>
      </c>
      <c r="B41" t="n">
        <v>3.3</v>
      </c>
      <c r="C41" t="n">
        <v>20.3</v>
      </c>
    </row>
    <row r="42">
      <c r="A42" t="inlineStr">
        <is>
          <t>Manuel</t>
        </is>
      </c>
      <c r="B42" t="n">
        <v>11.6</v>
      </c>
      <c r="C42" t="n">
        <v>27.9</v>
      </c>
    </row>
    <row r="43">
      <c r="A43" t="inlineStr">
        <is>
          <t>Alije</t>
        </is>
      </c>
      <c r="B43" t="n">
        <v>6.9</v>
      </c>
      <c r="C43" t="n">
        <v>19.1</v>
      </c>
    </row>
    <row r="44">
      <c r="A44" t="inlineStr">
        <is>
          <t>Andrewy</t>
        </is>
      </c>
      <c r="B44" t="n">
        <v>14.4</v>
      </c>
      <c r="C44" t="n">
        <v>26.5</v>
      </c>
    </row>
    <row r="45">
      <c r="A45" t="inlineStr">
        <is>
          <t>Juans</t>
        </is>
      </c>
      <c r="B45" t="n">
        <v>9.5</v>
      </c>
      <c r="C45" t="n">
        <v>21.2</v>
      </c>
    </row>
    <row r="46">
      <c r="A46" t="inlineStr">
        <is>
          <t>Chauncey_w</t>
        </is>
      </c>
      <c r="B46" t="n">
        <v>14.1</v>
      </c>
      <c r="C46" t="n">
        <v>24.8</v>
      </c>
    </row>
    <row r="47">
      <c r="A47" t="inlineStr">
        <is>
          <t>Raul</t>
        </is>
      </c>
      <c r="B47" t="n">
        <v>8.800000000000001</v>
      </c>
      <c r="C47" t="n">
        <v>18.8</v>
      </c>
    </row>
  </sheetData>
  <mergeCells count="4">
    <mergeCell ref="A1:I1"/>
    <mergeCell ref="A3:I3"/>
    <mergeCell ref="A30:I30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50" customWidth="1" min="8" max="8"/>
  </cols>
  <sheetData>
    <row r="1">
      <c r="A1" s="1" t="inlineStr">
        <is>
          <t>Drafter Performance Comparison  |  January–April 2025 vs 2026</t>
        </is>
      </c>
    </row>
    <row r="2">
      <c r="A2" s="2" t="inlineStr">
        <is>
          <t>Drafters who appear in both years — go-back rate is the key quality measure.</t>
        </is>
      </c>
    </row>
    <row r="4">
      <c r="A4" s="15" t="inlineStr">
        <is>
          <t>Drafter</t>
        </is>
      </c>
      <c r="B4" s="15" t="inlineStr">
        <is>
          <t>2025
Drafts</t>
        </is>
      </c>
      <c r="C4" s="15" t="inlineStr">
        <is>
          <t>2025
GB%</t>
        </is>
      </c>
      <c r="D4" s="15" t="inlineStr">
        <is>
          <t>2026
Drafts</t>
        </is>
      </c>
      <c r="E4" s="15" t="inlineStr">
        <is>
          <t>2026
GB%</t>
        </is>
      </c>
      <c r="F4" s="15" t="inlineStr">
        <is>
          <t>Change
in GB%</t>
        </is>
      </c>
      <c r="G4" s="15" t="inlineStr">
        <is>
          <t>Status</t>
        </is>
      </c>
      <c r="H4" s="15" t="inlineStr">
        <is>
          <t>Key Finding</t>
        </is>
      </c>
    </row>
    <row r="5" ht="36" customHeight="1">
      <c r="A5" s="22" t="inlineStr">
        <is>
          <t>Oleg</t>
        </is>
      </c>
      <c r="B5" s="7" t="n">
        <v>4966</v>
      </c>
      <c r="C5" s="16" t="inlineStr">
        <is>
          <t>5.9%</t>
        </is>
      </c>
      <c r="D5" s="7" t="n">
        <v>4083</v>
      </c>
      <c r="E5" s="12" t="inlineStr">
        <is>
          <t>23.2%</t>
        </is>
      </c>
      <c r="F5" s="12" t="inlineStr">
        <is>
          <t>+17.3%</t>
        </is>
      </c>
      <c r="G5" s="12" t="inlineStr">
        <is>
          <t>BIG DROP ↓↓</t>
        </is>
      </c>
      <c r="H5" s="32" t="inlineStr">
        <is>
          <t>CRISIS: Handles 65% of ALL drafting. Go-back rate quadrupled (5.9% → 23.2%). Senior review needed immediately. Root cause unknown.</t>
        </is>
      </c>
    </row>
    <row r="6" ht="36" customHeight="1">
      <c r="A6" s="22" t="inlineStr">
        <is>
          <t>Caitlyn</t>
        </is>
      </c>
      <c r="B6" s="7" t="n">
        <v>27</v>
      </c>
      <c r="C6" s="33" t="inlineStr">
        <is>
          <t>22.2%</t>
        </is>
      </c>
      <c r="D6" s="7" t="n">
        <v>17</v>
      </c>
      <c r="E6" s="12" t="inlineStr">
        <is>
          <t>70.6%</t>
        </is>
      </c>
      <c r="F6" s="12" t="inlineStr">
        <is>
          <t>+48.4%</t>
        </is>
      </c>
      <c r="G6" s="12" t="inlineStr">
        <is>
          <t>CRISIS ↓↓↓</t>
        </is>
      </c>
      <c r="H6" s="32" t="inlineStr">
        <is>
          <t>STOP assignments. Was 22% in 2025 — already bad. Now 70.6%. 7 in 10 drafts returned. Requires full senior sign-off on every draft.</t>
        </is>
      </c>
    </row>
    <row r="7" ht="36" customHeight="1">
      <c r="A7" s="10" t="inlineStr">
        <is>
          <t>Glenn</t>
        </is>
      </c>
      <c r="B7" s="7" t="n">
        <v>138</v>
      </c>
      <c r="C7" s="20" t="inlineStr">
        <is>
          <t>18.1%</t>
        </is>
      </c>
      <c r="D7" s="7" t="n">
        <v>12</v>
      </c>
      <c r="E7" s="34" t="inlineStr">
        <is>
          <t>16.7%</t>
        </is>
      </c>
      <c r="F7" s="13" t="inlineStr">
        <is>
          <t>-1.4%</t>
        </is>
      </c>
      <c r="G7" s="25" t="inlineStr">
        <is>
          <t>STABLE →</t>
        </is>
      </c>
      <c r="H7" s="11" t="inlineStr">
        <is>
          <t>Slight improvement (18.1% → 16.7%). Low 2026 volume — may have shifted to other duties. Still above 10% target.</t>
        </is>
      </c>
    </row>
    <row r="8" ht="36" customHeight="1">
      <c r="A8" s="30" t="inlineStr">
        <is>
          <t>Jon_w</t>
        </is>
      </c>
      <c r="B8" s="7" t="n">
        <v>2</v>
      </c>
      <c r="C8" s="33" t="inlineStr">
        <is>
          <t>50.0%</t>
        </is>
      </c>
      <c r="D8" s="7" t="n">
        <v>37</v>
      </c>
      <c r="E8" s="12" t="inlineStr">
        <is>
          <t>43.2%</t>
        </is>
      </c>
      <c r="F8" s="13" t="inlineStr">
        <is>
          <t>-6.8%</t>
        </is>
      </c>
      <c r="G8" s="13" t="inlineStr">
        <is>
          <t>IMPROVING ↑</t>
        </is>
      </c>
      <c r="H8" s="35" t="inlineStr">
        <is>
          <t>2025 data is only 2 drafts — not comparable. 2026 rate of 43.2% on 37 drafts is unacceptable. Needs senior oversight.</t>
        </is>
      </c>
    </row>
    <row r="11">
      <c r="A11" s="36" t="inlineStr">
        <is>
          <t>DRAFTERS ACTIVE IN 2025 (Jan-Apr) BUT NOT IN 2026:</t>
        </is>
      </c>
    </row>
    <row r="12" ht="28" customHeight="1">
      <c r="A12" s="37" t="inlineStr">
        <is>
          <t>Anogueira</t>
        </is>
      </c>
      <c r="B12" s="20" t="inlineStr">
        <is>
          <t>193 drafts</t>
        </is>
      </c>
      <c r="C12" s="20" t="inlineStr">
        <is>
          <t>37.3% GB</t>
        </is>
      </c>
      <c r="D12" s="20" t="inlineStr">
        <is>
          <t>(not in 2026)</t>
        </is>
      </c>
      <c r="E12" s="20" t="inlineStr">
        <is>
          <t>—</t>
        </is>
      </c>
      <c r="F12" s="20" t="inlineStr">
        <is>
          <t>N/A</t>
        </is>
      </c>
      <c r="G12" s="8" t="inlineStr">
        <is>
          <t>DEPARTED</t>
        </is>
      </c>
      <c r="H12" s="38" t="inlineStr">
        <is>
          <t>Not active 2026 (Jan-Apr). Was a quality drag — neutral to positive that workload shifted.</t>
        </is>
      </c>
    </row>
    <row r="13" ht="28" customHeight="1">
      <c r="A13" s="37" t="inlineStr">
        <is>
          <t>Fred_draft</t>
        </is>
      </c>
      <c r="B13" s="20" t="inlineStr">
        <is>
          <t>23 drafts</t>
        </is>
      </c>
      <c r="C13" s="20" t="inlineStr">
        <is>
          <t>30.4% GB</t>
        </is>
      </c>
      <c r="D13" s="20" t="inlineStr">
        <is>
          <t>(not in 2026)</t>
        </is>
      </c>
      <c r="E13" s="20" t="inlineStr">
        <is>
          <t>—</t>
        </is>
      </c>
      <c r="F13" s="20" t="inlineStr">
        <is>
          <t>N/A</t>
        </is>
      </c>
      <c r="G13" s="8" t="inlineStr">
        <is>
          <t>DEPARTED</t>
        </is>
      </c>
      <c r="H13" s="38" t="inlineStr">
        <is>
          <t>Appears removed after 2025 full-year review. Correct decision.</t>
        </is>
      </c>
    </row>
    <row r="14" ht="28" customHeight="1">
      <c r="A14" s="37" t="inlineStr">
        <is>
          <t>Kevin</t>
        </is>
      </c>
      <c r="B14" s="20" t="inlineStr">
        <is>
          <t>26 drafts</t>
        </is>
      </c>
      <c r="C14" s="20" t="inlineStr">
        <is>
          <t>15.4% GB</t>
        </is>
      </c>
      <c r="D14" s="20" t="inlineStr">
        <is>
          <t>(not in 2026)</t>
        </is>
      </c>
      <c r="E14" s="20" t="inlineStr">
        <is>
          <t>—</t>
        </is>
      </c>
      <c r="F14" s="20" t="inlineStr">
        <is>
          <t>N/A</t>
        </is>
      </c>
      <c r="G14" s="8" t="inlineStr">
        <is>
          <t>DEPARTED</t>
        </is>
      </c>
      <c r="H14" s="38" t="inlineStr">
        <is>
          <t>Not found in 2026 data. Availability issue or redeployment.</t>
        </is>
      </c>
    </row>
    <row r="15" ht="28" customHeight="1">
      <c r="A15" s="37" t="inlineStr">
        <is>
          <t>Sandra</t>
        </is>
      </c>
      <c r="B15" s="20" t="inlineStr">
        <is>
          <t>30 drafts</t>
        </is>
      </c>
      <c r="C15" s="20" t="inlineStr">
        <is>
          <t>6.7% GB</t>
        </is>
      </c>
      <c r="D15" s="20" t="inlineStr">
        <is>
          <t>(not in 2026)</t>
        </is>
      </c>
      <c r="E15" s="20" t="inlineStr">
        <is>
          <t>—</t>
        </is>
      </c>
      <c r="F15" s="20" t="inlineStr">
        <is>
          <t>N/A</t>
        </is>
      </c>
      <c r="G15" s="8" t="inlineStr">
        <is>
          <t>DEPARTED</t>
        </is>
      </c>
      <c r="H15" s="38" t="inlineStr">
        <is>
          <t>Strong drafter — NOT in 2026 Jan-Apr. Recommend re-engaging if available.</t>
        </is>
      </c>
    </row>
    <row r="18">
      <c r="A18" s="39" t="inlineStr">
        <is>
          <t>NEW DRAFTERS IN 2026 (no 2025 comparison): Alex_m — 0.0% (7 drafts)  |  Amann — 0.0% (5)  |  Alma_t — 28.6% (14)  |  Mark_e — 60.0% (5 — too small to judge)</t>
        </is>
      </c>
    </row>
    <row r="21">
      <c r="A21" t="inlineStr">
        <is>
          <t>Drafter</t>
        </is>
      </c>
      <c r="B21" t="inlineStr">
        <is>
          <t>2025 GB%</t>
        </is>
      </c>
      <c r="C21" t="inlineStr">
        <is>
          <t>2026 GB%</t>
        </is>
      </c>
    </row>
    <row r="22">
      <c r="A22" t="inlineStr">
        <is>
          <t>Oleg</t>
        </is>
      </c>
      <c r="B22" t="n">
        <v>5.9</v>
      </c>
      <c r="C22" t="n">
        <v>23.2</v>
      </c>
    </row>
    <row r="23">
      <c r="A23" t="inlineStr">
        <is>
          <t>Caitlyn</t>
        </is>
      </c>
      <c r="B23" t="n">
        <v>22.2</v>
      </c>
      <c r="C23" t="n">
        <v>70.59999999999999</v>
      </c>
    </row>
    <row r="24">
      <c r="A24" t="inlineStr">
        <is>
          <t>Glenn</t>
        </is>
      </c>
      <c r="B24" t="n">
        <v>18.1</v>
      </c>
      <c r="C24" t="n">
        <v>16.7</v>
      </c>
    </row>
    <row r="25">
      <c r="A25" t="inlineStr">
        <is>
          <t>Jon_w</t>
        </is>
      </c>
      <c r="B25" t="n">
        <v>50</v>
      </c>
      <c r="C25" t="n">
        <v>43.2</v>
      </c>
    </row>
  </sheetData>
  <mergeCells count="4">
    <mergeCell ref="A18:H18"/>
    <mergeCell ref="A11:H11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Survey Coordinator Performance  |  January–April 2026</t>
        </is>
      </c>
    </row>
    <row r="2">
      <c r="A2" s="21" t="inlineStr">
        <is>
          <t>NOTE: Coordinator tracking field (survey_coordinator) was barely used in 2025. Only 6 records vs 145 in 2026.</t>
        </is>
      </c>
    </row>
    <row r="3">
      <c r="A3" s="2" t="inlineStr">
        <is>
          <t>2026 coordinators with meaningful tracked activity:</t>
        </is>
      </c>
    </row>
    <row r="4">
      <c r="A4" s="15" t="inlineStr">
        <is>
          <t>Coordinator</t>
        </is>
      </c>
      <c r="B4" s="15" t="inlineStr">
        <is>
          <t>Orders
Managed</t>
        </is>
      </c>
      <c r="C4" s="15" t="inlineStr">
        <is>
          <t>Completed</t>
        </is>
      </c>
      <c r="D4" s="15" t="inlineStr">
        <is>
          <t>Cancelled</t>
        </is>
      </c>
      <c r="E4" s="15" t="inlineStr">
        <is>
          <t>Go-Backs</t>
        </is>
      </c>
      <c r="F4" s="15" t="inlineStr">
        <is>
          <t>Comp Rate</t>
        </is>
      </c>
      <c r="G4" s="15" t="inlineStr">
        <is>
          <t>Assessment</t>
        </is>
      </c>
    </row>
    <row r="5" ht="32" customHeight="1">
      <c r="A5" s="30" t="inlineStr">
        <is>
          <t>Marcos</t>
        </is>
      </c>
      <c r="B5" s="16" t="n">
        <v>90</v>
      </c>
      <c r="C5" s="16" t="n">
        <v>89</v>
      </c>
      <c r="D5" s="16" t="n">
        <v>0</v>
      </c>
      <c r="E5" s="20" t="n">
        <v>9</v>
      </c>
      <c r="F5" s="13" t="inlineStr">
        <is>
          <t>98.9%</t>
        </is>
      </c>
      <c r="G5" s="35" t="inlineStr">
        <is>
          <t>EXCELLENT — Near-perfect completion, zero cancellations on 90 orders. Use his process as the company standard.</t>
        </is>
      </c>
    </row>
    <row r="6" ht="32" customHeight="1">
      <c r="A6" s="40" t="inlineStr">
        <is>
          <t>Jon_w</t>
        </is>
      </c>
      <c r="B6" s="41" t="n">
        <v>47</v>
      </c>
      <c r="C6" s="16" t="n">
        <v>44</v>
      </c>
      <c r="D6" s="20" t="n">
        <v>2</v>
      </c>
      <c r="E6" s="20" t="n">
        <v>5</v>
      </c>
      <c r="F6" s="13" t="inlineStr">
        <is>
          <t>93.6%</t>
        </is>
      </c>
      <c r="G6" s="42" t="inlineStr">
        <is>
          <t>GOOD — Strong completion on 47 managed orders. 5 go-backs is within target. Keep monitoring.</t>
        </is>
      </c>
    </row>
    <row r="8">
      <c r="A8" s="21" t="inlineStr">
        <is>
          <t>ACTION REQUIRED: Make survey_coordinator a required field for all new orders immediately. Without it, we cannot measure coordinator accountability. Marcos's 98.9% completion rate is the benchmark every coordinator should be held to.</t>
        </is>
      </c>
    </row>
    <row r="10">
      <c r="A10" s="43" t="inlineStr">
        <is>
          <t>CONTEXT: In 2025 Jan-Apr there were only 6 total coordinator-assigned records vs 7,539 total orders. In 2026 there are 145 records vs 6,397 orders. Still less than 3% coverage. This data gap means coordinator comparison is not yet possible — but 2026 is heading in the right direction.</t>
        </is>
      </c>
    </row>
  </sheetData>
  <mergeCells count="5">
    <mergeCell ref="A1:G1"/>
    <mergeCell ref="A8:G8"/>
    <mergeCell ref="A3:G3"/>
    <mergeCell ref="A2:G2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6" customWidth="1" min="4" max="4"/>
    <col width="55" customWidth="1" min="5" max="5"/>
  </cols>
  <sheetData>
    <row r="1">
      <c r="A1" s="1" t="inlineStr">
        <is>
          <t>WHO TO WATCH  —  Plain-English Summary  |  Jan–Apr 2025 vs 2026</t>
        </is>
      </c>
    </row>
    <row r="2">
      <c r="A2" s="2" t="inlineStr">
        <is>
          <t>Named list of who improved, who declined, and what to do about it.</t>
        </is>
      </c>
    </row>
    <row r="4">
      <c r="A4" s="44" t="inlineStr">
        <is>
          <t>CREW MEMBERS — PERFORMANCE GETTING WORSE (Go-Back Rate Rose Significantly)</t>
        </is>
      </c>
    </row>
    <row r="5">
      <c r="A5" s="5" t="inlineStr">
        <is>
          <t>Crew</t>
        </is>
      </c>
      <c r="B5" s="5" t="inlineStr">
        <is>
          <t>2025 GB%</t>
        </is>
      </c>
      <c r="C5" s="5" t="inlineStr">
        <is>
          <t>2026 GB%</t>
        </is>
      </c>
      <c r="D5" s="5" t="inlineStr">
        <is>
          <t>How Bad</t>
        </is>
      </c>
      <c r="E5" s="5" t="inlineStr">
        <is>
          <t>Action Required</t>
        </is>
      </c>
    </row>
    <row r="6" ht="24" customHeight="1">
      <c r="A6" s="22" t="inlineStr">
        <is>
          <t>Rc</t>
        </is>
      </c>
      <c r="B6" s="41" t="inlineStr">
        <is>
          <t>3.8%</t>
        </is>
      </c>
      <c r="C6" s="12" t="inlineStr">
        <is>
          <t>45.6%</t>
        </is>
      </c>
      <c r="D6" s="12" t="inlineStr">
        <is>
          <t>CRITICAL</t>
        </is>
      </c>
      <c r="E6" s="32" t="inlineStr">
        <is>
          <t>From STAR to CRISIS. 45.6% in 2026. Audit all recent work. Personal coaching session within 3 days.</t>
        </is>
      </c>
    </row>
    <row r="7" ht="24" customHeight="1">
      <c r="A7" s="22" t="inlineStr">
        <is>
          <t>Choppa</t>
        </is>
      </c>
      <c r="B7" s="41" t="inlineStr">
        <is>
          <t>11.1%</t>
        </is>
      </c>
      <c r="C7" s="12" t="inlineStr">
        <is>
          <t>51.3%</t>
        </is>
      </c>
      <c r="D7" s="12" t="inlineStr">
        <is>
          <t>CRITICAL</t>
        </is>
      </c>
      <c r="E7" s="32" t="inlineStr">
        <is>
          <t>STOP solo complex jobs. 51% means 1 in 2 jobs wrong. Supervisor must ride along this week.</t>
        </is>
      </c>
    </row>
    <row r="8" ht="24" customHeight="1">
      <c r="A8" s="22" t="inlineStr">
        <is>
          <t>Byron</t>
        </is>
      </c>
      <c r="B8" s="41" t="inlineStr">
        <is>
          <t>5.3%</t>
        </is>
      </c>
      <c r="C8" s="12" t="inlineStr">
        <is>
          <t>42.3%</t>
        </is>
      </c>
      <c r="D8" s="12" t="inlineStr">
        <is>
          <t>CRITICAL</t>
        </is>
      </c>
      <c r="E8" s="32" t="inlineStr">
        <is>
          <t>5.3% → 42.3%. Something changed. Ask crew what's different. Could be equipment, area, or personal issue.</t>
        </is>
      </c>
    </row>
    <row r="9" ht="24" customHeight="1">
      <c r="A9" s="22" t="inlineStr">
        <is>
          <t>Tejada</t>
        </is>
      </c>
      <c r="B9" s="41" t="inlineStr">
        <is>
          <t>4.6%</t>
        </is>
      </c>
      <c r="C9" s="12" t="inlineStr">
        <is>
          <t>35.2%</t>
        </is>
      </c>
      <c r="D9" s="12" t="inlineStr">
        <is>
          <t>CRITICAL</t>
        </is>
      </c>
      <c r="E9" s="32" t="inlineStr">
        <is>
          <t>Was a top crew in 2025. Now 35.2%. Has taken on more volume — workload overload may be the cause.</t>
        </is>
      </c>
    </row>
    <row r="10" ht="24" customHeight="1">
      <c r="A10" s="26" t="inlineStr">
        <is>
          <t>Richardp</t>
        </is>
      </c>
      <c r="B10" s="41" t="inlineStr">
        <is>
          <t>5.5%</t>
        </is>
      </c>
      <c r="C10" s="12" t="inlineStr">
        <is>
          <t>34.9%</t>
        </is>
      </c>
      <c r="D10" s="19" t="inlineStr">
        <is>
          <t>SERIOUS</t>
        </is>
      </c>
      <c r="E10" s="45" t="inlineStr">
        <is>
          <t>34.9% on 212 jobs = 74 wrong jobs. Add supervisor pre-check before submission.</t>
        </is>
      </c>
    </row>
    <row r="11" ht="24" customHeight="1">
      <c r="A11" s="26" t="inlineStr">
        <is>
          <t>Ivan</t>
        </is>
      </c>
      <c r="B11" s="41" t="inlineStr">
        <is>
          <t>5.5%</t>
        </is>
      </c>
      <c r="C11" s="12" t="inlineStr">
        <is>
          <t>31.9%</t>
        </is>
      </c>
      <c r="D11" s="19" t="inlineStr">
        <is>
          <t>SERIOUS</t>
        </is>
      </c>
      <c r="E11" s="45" t="inlineStr">
        <is>
          <t>31.9% on 357 jobs = 114 wrong jobs. High volume + high error = biggest absolute impact on operations.</t>
        </is>
      </c>
    </row>
    <row r="12" ht="24" customHeight="1">
      <c r="A12" s="26" t="inlineStr">
        <is>
          <t>Mabel</t>
        </is>
      </c>
      <c r="B12" s="41" t="inlineStr">
        <is>
          <t>7.6%</t>
        </is>
      </c>
      <c r="C12" s="12" t="inlineStr">
        <is>
          <t>28.6%</t>
        </is>
      </c>
      <c r="D12" s="19" t="inlineStr">
        <is>
          <t>SERIOUS</t>
        </is>
      </c>
      <c r="E12" s="45" t="inlineStr">
        <is>
          <t>7.6% → 28.6%. Nearly quadrupled. Check if equipment changed or job complexity increased.</t>
        </is>
      </c>
    </row>
    <row r="13" ht="24" customHeight="1">
      <c r="A13" s="26" t="inlineStr">
        <is>
          <t>Elio</t>
        </is>
      </c>
      <c r="B13" s="41" t="inlineStr">
        <is>
          <t>3.3%</t>
        </is>
      </c>
      <c r="C13" s="12" t="inlineStr">
        <is>
          <t>20.3%</t>
        </is>
      </c>
      <c r="D13" s="19" t="inlineStr">
        <is>
          <t>SERIOUS</t>
        </is>
      </c>
      <c r="E13" s="45" t="inlineStr">
        <is>
          <t>3.3% → 20.3%. Was excellent, now a concern. Check if new assignments types are different.</t>
        </is>
      </c>
    </row>
    <row r="14" ht="24" customHeight="1">
      <c r="A14" s="26" t="inlineStr">
        <is>
          <t>Manuel</t>
        </is>
      </c>
      <c r="B14" s="41" t="inlineStr">
        <is>
          <t>11.6%</t>
        </is>
      </c>
      <c r="C14" s="12" t="inlineStr">
        <is>
          <t>27.9%</t>
        </is>
      </c>
      <c r="D14" s="19" t="inlineStr">
        <is>
          <t>SERIOUS</t>
        </is>
      </c>
      <c r="E14" s="45" t="inlineStr">
        <is>
          <t>11.6% → 27.9%. 63 go-backs on 226 jobs. Targeted coaching on most common error types.</t>
        </is>
      </c>
    </row>
    <row r="15" ht="24" customHeight="1">
      <c r="A15" s="37" t="inlineStr">
        <is>
          <t>Alije</t>
        </is>
      </c>
      <c r="B15" s="41" t="inlineStr">
        <is>
          <t>6.9%</t>
        </is>
      </c>
      <c r="C15" s="12" t="inlineStr">
        <is>
          <t>19.1%</t>
        </is>
      </c>
      <c r="D15" s="8" t="inlineStr">
        <is>
          <t>CONCERN</t>
        </is>
      </c>
      <c r="E15" s="38" t="inlineStr">
        <is>
          <t>6.9% → 19.1%. High-volume crew with a serious slip. Needs attention before errors compound.</t>
        </is>
      </c>
    </row>
    <row r="16" ht="24" customHeight="1">
      <c r="A16" s="37" t="inlineStr">
        <is>
          <t>Andrewy</t>
        </is>
      </c>
      <c r="B16" s="41" t="inlineStr">
        <is>
          <t>14.4%</t>
        </is>
      </c>
      <c r="C16" s="12" t="inlineStr">
        <is>
          <t>26.5%</t>
        </is>
      </c>
      <c r="D16" s="8" t="inlineStr">
        <is>
          <t>CONCERN</t>
        </is>
      </c>
      <c r="E16" s="38" t="inlineStr">
        <is>
          <t>14.4% → 26.5%. Steady decline. Find top 3 error types and address specifically.</t>
        </is>
      </c>
    </row>
    <row r="17" ht="24" customHeight="1">
      <c r="A17" s="37" t="inlineStr">
        <is>
          <t>Juans</t>
        </is>
      </c>
      <c r="B17" s="41" t="inlineStr">
        <is>
          <t>9.5%</t>
        </is>
      </c>
      <c r="C17" s="12" t="inlineStr">
        <is>
          <t>21.2%</t>
        </is>
      </c>
      <c r="D17" s="8" t="inlineStr">
        <is>
          <t>CONCERN</t>
        </is>
      </c>
      <c r="E17" s="38" t="inlineStr">
        <is>
          <t>9.5% → 21.2%. Moved past 20% threshold. Weekly review needed until under 12%.</t>
        </is>
      </c>
    </row>
    <row r="18" ht="24" customHeight="1">
      <c r="A18" s="37" t="inlineStr">
        <is>
          <t>Chauncey_w</t>
        </is>
      </c>
      <c r="B18" s="41" t="inlineStr">
        <is>
          <t>14.1%</t>
        </is>
      </c>
      <c r="C18" s="12" t="inlineStr">
        <is>
          <t>24.8%</t>
        </is>
      </c>
      <c r="D18" s="8" t="inlineStr">
        <is>
          <t>CONCERN</t>
        </is>
      </c>
      <c r="E18" s="38" t="inlineStr">
        <is>
          <t>14.1% → 24.8%. Continuing multi-year decline. Reset performance expectations formally.</t>
        </is>
      </c>
    </row>
    <row r="19" ht="24" customHeight="1">
      <c r="A19" s="37" t="inlineStr">
        <is>
          <t>Raul</t>
        </is>
      </c>
      <c r="B19" s="41" t="inlineStr">
        <is>
          <t>8.8%</t>
        </is>
      </c>
      <c r="C19" s="12" t="inlineStr">
        <is>
          <t>18.8%</t>
        </is>
      </c>
      <c r="D19" s="8" t="inlineStr">
        <is>
          <t>CONCERN</t>
        </is>
      </c>
      <c r="E19" s="38" t="inlineStr">
        <is>
          <t>8.8% → 18.8%. Doubled on high volume. Coaching needed.</t>
        </is>
      </c>
    </row>
    <row r="20" ht="24" customHeight="1">
      <c r="A20" s="37" t="inlineStr">
        <is>
          <t>Elenam</t>
        </is>
      </c>
      <c r="B20" s="41" t="inlineStr">
        <is>
          <t>9.4%</t>
        </is>
      </c>
      <c r="C20" s="12" t="inlineStr">
        <is>
          <t>18.2%</t>
        </is>
      </c>
      <c r="D20" s="8" t="inlineStr">
        <is>
          <t>CONCERN</t>
        </is>
      </c>
      <c r="E20" s="38" t="inlineStr">
        <is>
          <t>9.4% → 18.2%. Doubled. High volume increase (106 → 231 jobs) may be causing rush errors.</t>
        </is>
      </c>
    </row>
    <row r="21" ht="24" customHeight="1">
      <c r="A21" s="40" t="inlineStr">
        <is>
          <t>Ricardot</t>
        </is>
      </c>
      <c r="B21" s="41" t="inlineStr">
        <is>
          <t>7.4%</t>
        </is>
      </c>
      <c r="C21" s="12" t="inlineStr">
        <is>
          <t>15.1%</t>
        </is>
      </c>
      <c r="D21" s="25" t="inlineStr">
        <is>
          <t>WATCH</t>
        </is>
      </c>
      <c r="E21" s="42" t="inlineStr">
        <is>
          <t>Schedule review and find root cause.</t>
        </is>
      </c>
    </row>
    <row r="22" ht="24" customHeight="1">
      <c r="A22" s="40" t="inlineStr">
        <is>
          <t>Rose</t>
        </is>
      </c>
      <c r="B22" s="41" t="inlineStr">
        <is>
          <t>2.9%</t>
        </is>
      </c>
      <c r="C22" s="12" t="inlineStr">
        <is>
          <t>9.2%</t>
        </is>
      </c>
      <c r="D22" s="25" t="inlineStr">
        <is>
          <t>WATCH</t>
        </is>
      </c>
      <c r="E22" s="42" t="inlineStr">
        <is>
          <t>Schedule review and find root cause.</t>
        </is>
      </c>
    </row>
    <row r="23" ht="24" customHeight="1">
      <c r="A23" s="40" t="inlineStr">
        <is>
          <t>Davidy</t>
        </is>
      </c>
      <c r="B23" s="41" t="inlineStr">
        <is>
          <t>0.0%</t>
        </is>
      </c>
      <c r="C23" s="12" t="inlineStr">
        <is>
          <t>5.9%</t>
        </is>
      </c>
      <c r="D23" s="25" t="inlineStr">
        <is>
          <t>WATCH</t>
        </is>
      </c>
      <c r="E23" s="42" t="inlineStr">
        <is>
          <t>Schedule review and find root cause.</t>
        </is>
      </c>
    </row>
    <row r="24" ht="24" customHeight="1">
      <c r="A24" s="40" t="inlineStr">
        <is>
          <t>Jonp</t>
        </is>
      </c>
      <c r="B24" s="41" t="inlineStr">
        <is>
          <t>11.6%</t>
        </is>
      </c>
      <c r="C24" s="12" t="inlineStr">
        <is>
          <t>14.8%</t>
        </is>
      </c>
      <c r="D24" s="25" t="inlineStr">
        <is>
          <t>WATCH</t>
        </is>
      </c>
      <c r="E24" s="42" t="inlineStr">
        <is>
          <t>Schedule review and find root cause.</t>
        </is>
      </c>
    </row>
    <row r="26">
      <c r="A26" s="31" t="inlineStr">
        <is>
          <t>CREW MEMBERS — IMPROVING OR HOLDING STRONG</t>
        </is>
      </c>
    </row>
    <row r="27">
      <c r="A27" s="5" t="inlineStr">
        <is>
          <t>Crew</t>
        </is>
      </c>
      <c r="B27" s="5" t="inlineStr">
        <is>
          <t>2025 GB%</t>
        </is>
      </c>
      <c r="C27" s="5" t="inlineStr">
        <is>
          <t>2026 GB%</t>
        </is>
      </c>
      <c r="D27" s="5" t="inlineStr">
        <is>
          <t>Status</t>
        </is>
      </c>
      <c r="E27" s="5" t="inlineStr">
        <is>
          <t>Note</t>
        </is>
      </c>
    </row>
    <row r="28" ht="22" customHeight="1">
      <c r="A28" s="40" t="inlineStr">
        <is>
          <t>Ray</t>
        </is>
      </c>
      <c r="B28" s="41" t="inlineStr">
        <is>
          <t>4.7%</t>
        </is>
      </c>
      <c r="C28" s="23" t="inlineStr">
        <is>
          <t>7.7%</t>
        </is>
      </c>
      <c r="D28" s="46" t="inlineStr">
        <is>
          <t>SLIGHT SLIP</t>
        </is>
      </c>
      <c r="E28" s="42" t="inlineStr">
        <is>
          <t>Small uptick (4.7% → 7.7%) but still well within target. Monitor but no action needed.</t>
        </is>
      </c>
    </row>
    <row r="29" ht="22" customHeight="1">
      <c r="A29" s="40" t="inlineStr">
        <is>
          <t>Anthonya</t>
        </is>
      </c>
      <c r="B29" s="41" t="inlineStr">
        <is>
          <t>2.6%</t>
        </is>
      </c>
      <c r="C29" s="23" t="inlineStr">
        <is>
          <t>2.7%</t>
        </is>
      </c>
      <c r="D29" s="46" t="inlineStr">
        <is>
          <t>STABLE →</t>
        </is>
      </c>
      <c r="E29" s="42" t="inlineStr">
        <is>
          <t>Near-perfect hold: 2.6% → 2.7%. STAR crew year over year. High trust assignments.</t>
        </is>
      </c>
    </row>
    <row r="30" ht="22" customHeight="1">
      <c r="A30" s="30" t="inlineStr">
        <is>
          <t>Joseph</t>
        </is>
      </c>
      <c r="B30" s="41" t="inlineStr">
        <is>
          <t>2.5%</t>
        </is>
      </c>
      <c r="C30" s="23" t="inlineStr">
        <is>
          <t>1.8%</t>
        </is>
      </c>
      <c r="D30" s="47" t="inlineStr">
        <is>
          <t>STABLE →</t>
        </is>
      </c>
      <c r="E30" s="35" t="inlineStr">
        <is>
          <t>Steady excellence: 2.5% → 1.8%. Consistent high quality. Assign to training role.</t>
        </is>
      </c>
    </row>
    <row r="31" ht="22" customHeight="1">
      <c r="A31" s="30" t="inlineStr">
        <is>
          <t>Diegor</t>
        </is>
      </c>
      <c r="B31" s="41" t="inlineStr">
        <is>
          <t>5.8%</t>
        </is>
      </c>
      <c r="C31" s="23" t="inlineStr">
        <is>
          <t>4.6%</t>
        </is>
      </c>
      <c r="D31" s="47" t="inlineStr">
        <is>
          <t>STABLE →</t>
        </is>
      </c>
      <c r="E31" s="35" t="inlineStr">
        <is>
          <t>Slight improvement: 5.8% → 4.6%. High volume + low errors. Promote to lead crew.</t>
        </is>
      </c>
    </row>
    <row r="32" ht="22" customHeight="1">
      <c r="A32" s="30" t="inlineStr">
        <is>
          <t>Johnv</t>
        </is>
      </c>
      <c r="B32" s="41" t="inlineStr">
        <is>
          <t>10.7%</t>
        </is>
      </c>
      <c r="C32" s="23" t="inlineStr">
        <is>
          <t>3.4%</t>
        </is>
      </c>
      <c r="D32" s="13" t="inlineStr">
        <is>
          <t>IMPROVED ↑</t>
        </is>
      </c>
      <c r="E32" s="35" t="inlineStr">
        <is>
          <t>Biggest improvement: 10.7% → 3.4%. From concern to STAR. Find out what changed and share with team.</t>
        </is>
      </c>
    </row>
    <row r="34">
      <c r="A34" s="44" t="inlineStr">
        <is>
          <t>DRAFTERS — WHO IMPROVED AND WHO DECLINED</t>
        </is>
      </c>
    </row>
    <row r="35">
      <c r="A35" s="5" t="inlineStr">
        <is>
          <t>Drafter</t>
        </is>
      </c>
      <c r="B35" s="5" t="inlineStr">
        <is>
          <t>2025 GB%</t>
        </is>
      </c>
      <c r="C35" s="5" t="inlineStr">
        <is>
          <t>2026 GB%</t>
        </is>
      </c>
      <c r="D35" s="5" t="inlineStr">
        <is>
          <t>Status</t>
        </is>
      </c>
      <c r="E35" s="5" t="inlineStr">
        <is>
          <t>Action</t>
        </is>
      </c>
    </row>
    <row r="36" ht="36" customHeight="1">
      <c r="A36" s="22" t="inlineStr">
        <is>
          <t>Oleg</t>
        </is>
      </c>
      <c r="B36" s="41" t="inlineStr">
        <is>
          <t>5.9%</t>
        </is>
      </c>
      <c r="C36" s="12" t="inlineStr">
        <is>
          <t>23.2%</t>
        </is>
      </c>
      <c r="D36" s="12" t="inlineStr">
        <is>
          <t>CRITICAL ↓↓</t>
        </is>
      </c>
      <c r="E36" s="32" t="inlineStr">
        <is>
          <t>URGENT: Review every Oleg draft this week. Go-backs quadrupled. Must find root cause — equipment, process, or workload pressure.</t>
        </is>
      </c>
    </row>
    <row r="37" ht="36" customHeight="1">
      <c r="A37" s="22" t="inlineStr">
        <is>
          <t>Caitlyn</t>
        </is>
      </c>
      <c r="B37" s="41" t="inlineStr">
        <is>
          <t>22.2%</t>
        </is>
      </c>
      <c r="C37" s="12" t="inlineStr">
        <is>
          <t>70.6%</t>
        </is>
      </c>
      <c r="D37" s="12" t="inlineStr">
        <is>
          <t>CRISIS ↓↓↓</t>
        </is>
      </c>
      <c r="E37" s="32" t="inlineStr">
        <is>
          <t>IMMEDIATE: Stop all new Caitlyn assignments. 70.6% go-back is not acceptable. Senior must review and approve every draft until resolved.</t>
        </is>
      </c>
    </row>
    <row r="38" ht="36" customHeight="1">
      <c r="A38" s="40" t="inlineStr">
        <is>
          <t>Glenn</t>
        </is>
      </c>
      <c r="B38" s="41" t="inlineStr">
        <is>
          <t>18.1%</t>
        </is>
      </c>
      <c r="C38" s="13" t="inlineStr">
        <is>
          <t>16.7%</t>
        </is>
      </c>
      <c r="D38" s="25" t="inlineStr">
        <is>
          <t>STABLE →</t>
        </is>
      </c>
      <c r="E38" s="42" t="inlineStr">
        <is>
          <t>Slight improvement but still above 10% target. Weekly coaching is working — continue.</t>
        </is>
      </c>
    </row>
    <row r="39" ht="36" customHeight="1">
      <c r="A39" s="26" t="inlineStr">
        <is>
          <t>Jon_w</t>
        </is>
      </c>
      <c r="B39" s="41" t="inlineStr">
        <is>
          <t>50.0%</t>
        </is>
      </c>
      <c r="C39" s="12" t="inlineStr">
        <is>
          <t>43.2%</t>
        </is>
      </c>
      <c r="D39" s="19" t="inlineStr">
        <is>
          <t>WATCH</t>
        </is>
      </c>
      <c r="E39" s="45" t="inlineStr">
        <is>
          <t>2025 data too small (2 drafts). 43.2% in 2026 is high. Needs senior sign-off gate before submission.</t>
        </is>
      </c>
    </row>
  </sheetData>
  <mergeCells count="5">
    <mergeCell ref="A34:E34"/>
    <mergeCell ref="A4:E4"/>
    <mergeCell ref="A26:E26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2026-05-05T11:38:35Z</dcterms:created>
  <dcterms:modified xsi:type="dcterms:W3CDTF">2026-05-05T11:38:35Z</dcterms:modified>
</cp:coreProperties>
</file>